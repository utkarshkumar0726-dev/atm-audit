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nfocus-it clients\Punjab &amp; Sind Bank - PSB\2026\PSB ATM - eSurvillance audit 2026\"/>
    </mc:Choice>
  </mc:AlternateContent>
  <xr:revisionPtr revIDLastSave="0" documentId="8_{399821B3-DE92-442A-BB3A-32AB73A1036D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Audit Register" sheetId="3" r:id="rId1"/>
    <sheet name="Checklist" sheetId="1" r:id="rId2"/>
  </sheets>
  <definedNames>
    <definedName name="_xlnm._FilterDatabase" localSheetId="0" hidden="1">'Audit Register'!$A$2:$V$32</definedName>
    <definedName name="_xlnm.Print_Area" localSheetId="1">Checklist!$A$1:$F$50</definedName>
    <definedName name="_xlnm.Print_Titles" localSheetId="1">Checklist!$7:$7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1" l="1"/>
  <c r="D54" i="1"/>
  <c r="E54" i="1"/>
  <c r="F54" i="1"/>
  <c r="G54" i="1"/>
  <c r="C55" i="1"/>
  <c r="D55" i="1"/>
  <c r="E55" i="1"/>
  <c r="E57" i="1" s="1"/>
  <c r="F55" i="1"/>
  <c r="G55" i="1"/>
  <c r="C56" i="1"/>
  <c r="D56" i="1"/>
  <c r="E56" i="1"/>
  <c r="F56" i="1"/>
  <c r="G56" i="1"/>
  <c r="H56" i="1" l="1"/>
  <c r="G57" i="1"/>
  <c r="H54" i="1"/>
  <c r="I55" i="1"/>
  <c r="F57" i="1"/>
  <c r="I54" i="1"/>
  <c r="D57" i="1"/>
  <c r="C57" i="1"/>
  <c r="H55" i="1"/>
  <c r="H57" i="1" s="1"/>
  <c r="I56" i="1"/>
  <c r="I57" i="1" l="1"/>
</calcChain>
</file>

<file path=xl/sharedStrings.xml><?xml version="1.0" encoding="utf-8"?>
<sst xmlns="http://schemas.openxmlformats.org/spreadsheetml/2006/main" count="183" uniqueCount="176">
  <si>
    <t>Site / ATM ID and location:</t>
  </si>
  <si>
    <t>Audit date:</t>
  </si>
  <si>
    <t>Auditor(s) / team:</t>
  </si>
  <si>
    <t>Zone / FGMO:</t>
  </si>
  <si>
    <t>Vendor representative:</t>
  </si>
  <si>
    <t>Bank official:</t>
  </si>
  <si>
    <t>ID</t>
  </si>
  <si>
    <t>Checkpoint</t>
  </si>
  <si>
    <t>How to verify</t>
  </si>
  <si>
    <t>Status</t>
  </si>
  <si>
    <t>Remarks / Observation</t>
  </si>
  <si>
    <t>Check oldest recording available</t>
  </si>
  <si>
    <t>Partial</t>
  </si>
  <si>
    <t>A. HARDWARE VERIFICATION</t>
  </si>
  <si>
    <t>HW-01</t>
  </si>
  <si>
    <t>Installed equipment matches the approved site list / BoM - make, model, serial no. and quantity</t>
  </si>
  <si>
    <t>Physical count vs BoM</t>
  </si>
  <si>
    <t>HW-02</t>
  </si>
  <si>
    <t>CCTV cameras cover ATM room, back room / UPS cabinet, front lobby and front entrance</t>
  </si>
  <si>
    <t>Site walk-through; live feed</t>
  </si>
  <si>
    <t>HW-03</t>
  </si>
  <si>
    <t>Cameras support H.265 (or better) compression; edge analytics (motion / tamper / intrusion) where offered</t>
  </si>
  <si>
    <t>Datasheet; camera config page</t>
  </si>
  <si>
    <t>HW-04</t>
  </si>
  <si>
    <t>No camera or sensor is positioned to capture customer credentials (PIN pad / screen)</t>
  </si>
  <si>
    <t>Check field of view of each camera</t>
  </si>
  <si>
    <t>HW-05</t>
  </si>
  <si>
    <t>NVR placed in back room, physically secured, storage sized for minimum 180 days recording</t>
  </si>
  <si>
    <t>Inspect NVR; storage calculation</t>
  </si>
  <si>
    <t>HW-06</t>
  </si>
  <si>
    <t>Sensors installed and healthy - thermal, removal detector, vibration, tilt, motion (PIR), smoke</t>
  </si>
  <si>
    <t>Physical check; panel status</t>
  </si>
  <si>
    <t>HW-07</t>
  </si>
  <si>
    <t>Intruder alarm system / control panel and fire detection (abnormal heat / smoke) installed; panel tamper protected</t>
  </si>
  <si>
    <t>Physical check</t>
  </si>
  <si>
    <t>HW-08</t>
  </si>
  <si>
    <t>Two-way audio unit (speaker and microphone) installed and audible</t>
  </si>
  <si>
    <t>Physical check; test call</t>
  </si>
  <si>
    <t>HW-10</t>
  </si>
  <si>
    <t>OEMs of cameras, NVR, switches and accessories not restricted / blacklisted by Govt. of India; BIS certification held for applicable models</t>
  </si>
  <si>
    <t>OEM declaration; BIS certificates</t>
  </si>
  <si>
    <t>HW-11</t>
  </si>
  <si>
    <t>Site preparation, mounting and cabling done safely; old e-surveillance equipment de-installed</t>
  </si>
  <si>
    <t>Visual inspection</t>
  </si>
  <si>
    <t>B. FUNCTIONAL &amp; QUALITY TESTING</t>
  </si>
  <si>
    <t>FT-01</t>
  </si>
  <si>
    <t>Intrusion / unauthorised activity (PIR / IP camera) raises a real-time alert at CMS, 24x7, including ATMs closed at night; operator verifies by video</t>
  </si>
  <si>
    <t>Simulate event; observe CMS</t>
  </si>
  <si>
    <t>FT-02</t>
  </si>
  <si>
    <t>Each sensor (thermal, removal, vibration, tilt, motion, smoke) triggers the correct alert with site and sensor ID</t>
  </si>
  <si>
    <t>Trigger each sensor</t>
  </si>
  <si>
    <t>FT-03</t>
  </si>
  <si>
    <t>Camera analytics detects covered face / mask / helmet and loitering, and auto-generates an alert ticket</t>
  </si>
  <si>
    <t>Test with mask / helmet</t>
  </si>
  <si>
    <t>FT-04</t>
  </si>
  <si>
    <t>Two-way audio is clear and stays available on link loss; pre-recorded deterrent message of at least 60 seconds plays</t>
  </si>
  <si>
    <t>Audio test; link-down test</t>
  </si>
  <si>
    <t>FT-05</t>
  </si>
  <si>
    <t>Recording retained 180 days or more at site NVR and 7-day backup at CMS; flagged cases retained till closure</t>
  </si>
  <si>
    <t>FT-06</t>
  </si>
  <si>
    <t>Video quality and FPS fit for forensic / legal use; date-time stamp correct</t>
  </si>
  <si>
    <t>Playback review</t>
  </si>
  <si>
    <t>FT-07</t>
  </si>
  <si>
    <t>On-demand audio / video pull from CMS; footage given to Bank within 24 hours; export on portable device for police</t>
  </si>
  <si>
    <t>Sample footage request</t>
  </si>
  <si>
    <t>FT-08</t>
  </si>
  <si>
    <t>Alerts sent by SMS / email / call to Branch, Zone and HO officials per escalation matrix; telephone escalation to police etc.</t>
  </si>
  <si>
    <t>Test alert; escalation log</t>
  </si>
  <si>
    <t>FT-09</t>
  </si>
  <si>
    <t>Tickets auto-created and tracked till closure; ticket notes and call recordings kept 180 days or more</t>
  </si>
  <si>
    <t>Sample tickets</t>
  </si>
  <si>
    <t>FT-10</t>
  </si>
  <si>
    <t>Bank can remotely view any ATM and run mock drills (logs available); CMS can remotely control site devices</t>
  </si>
  <si>
    <t>Mock drill; demo from CMS</t>
  </si>
  <si>
    <t>FT-11</t>
  </si>
  <si>
    <t>Automated health checks - camera, HDD, sensor, video housekeeping - with status reports at set intervals</t>
  </si>
  <si>
    <t>Health reports</t>
  </si>
  <si>
    <t>FT-12</t>
  </si>
  <si>
    <t>Web portal and mobile app - real-time status, UP/DOWN with equipment-wise downtime age, live view, screenshots, manual ticket, incident history; role-wise access for BM / ZM / FGMO / ATM Cell / HO Security</t>
  </si>
  <si>
    <t>Portal and app walk-through</t>
  </si>
  <si>
    <t>FT-13</t>
  </si>
  <si>
    <t>Required reports available - uptime, incident, system down, health, ATM-wise alerts, tickets, power cut, chest door / hood open, link uptime, PM, site audit</t>
  </si>
  <si>
    <t>Generate sample reports</t>
  </si>
  <si>
    <t>FT-15</t>
  </si>
  <si>
    <t>24x7 live screen (LCD) at HO Security Department shows parallel feed of alerts, CCTV status and sensor / equipment health</t>
  </si>
  <si>
    <t>Observe at HO</t>
  </si>
  <si>
    <t>FT-16</t>
  </si>
  <si>
    <t>Preventive maintenance done per quarterly schedule; faults rectified within 24 hrs (metro / urban) or 48 hrs (others); standby equipment and spares available; signed PM and monthly health reports</t>
  </si>
  <si>
    <t>PM reports; fault tickets; spares register</t>
  </si>
  <si>
    <t>C. NETWORK &amp; CYBER SECURITY</t>
  </si>
  <si>
    <t>NS-01</t>
  </si>
  <si>
    <t>Site-to-CMS connectivity runs over a secure, dedicated VPN (GSM / CDMA)</t>
  </si>
  <si>
    <t>Network diagram; VPN config</t>
  </si>
  <si>
    <t>NS-02</t>
  </si>
  <si>
    <t>Redundant connectivity from two different service providers; failover works; link uptime reported</t>
  </si>
  <si>
    <t>Pull primary link; uptime report</t>
  </si>
  <si>
    <t>NS-03</t>
  </si>
  <si>
    <t>Minimum AES-256 encryption for all video feeds and data at rest</t>
  </si>
  <si>
    <t>Config review; traffic capture</t>
  </si>
  <si>
    <t>NS-04</t>
  </si>
  <si>
    <t>Default credentials disabled on cameras, NVR, panels, routers and CMS</t>
  </si>
  <si>
    <t>Login test with default passwords</t>
  </si>
  <si>
    <t>NS-05</t>
  </si>
  <si>
    <t>Role-based access control (RBAC) on CMS, portal and mobile app; user list reviewed</t>
  </si>
  <si>
    <t>User-role matrix</t>
  </si>
  <si>
    <t>NS-06</t>
  </si>
  <si>
    <t>Multi-factor authentication (MFA) for all administrative access</t>
  </si>
  <si>
    <t>Admin login test</t>
  </si>
  <si>
    <t>NS-07</t>
  </si>
  <si>
    <t>Audit logs of all administrative actions and audit trail of all access / actions retained and protected</t>
  </si>
  <si>
    <t>Sample log review</t>
  </si>
  <si>
    <t>NS-08</t>
  </si>
  <si>
    <t>Security hardening of all hardware and software - unused ports / services closed, firmware and patches current</t>
  </si>
  <si>
    <t>Port scan; firmware versions</t>
  </si>
  <si>
    <t>NS-09</t>
  </si>
  <si>
    <t>All video, metadata and analytics data stays in India (no transfer abroad without Bank's written approval); cloud / hybrid hosting complies with RBI data localisation and DPDP Act, 2023</t>
  </si>
  <si>
    <t>Hosting details; data-flow; declaration</t>
  </si>
  <si>
    <t>NS-10</t>
  </si>
  <si>
    <t>Annual security audit and VAPT (infrastructure, portal, mobile app) by CERT-In empanelled auditor; compliance certificate submitted to Bank; findings closed</t>
  </si>
  <si>
    <t>VAPT report; certificate; closure tracker</t>
  </si>
  <si>
    <t>NS-11</t>
  </si>
  <si>
    <t>7-day central backup is restorable and encrypted</t>
  </si>
  <si>
    <t>Restore test</t>
  </si>
  <si>
    <t>NS-12</t>
  </si>
  <si>
    <t>CMS integration with Bank's Incident Response System, ATM monitoring, ticketing tools and SOC is working, secure and compliant with Bank's IT guidelines</t>
  </si>
  <si>
    <t>Integration test; SOC logs</t>
  </si>
  <si>
    <t>Lead auditor - name, signature, date:</t>
  </si>
  <si>
    <t>Vendor representative - name, signature, date:</t>
  </si>
  <si>
    <t>Date:</t>
  </si>
  <si>
    <t>Section</t>
  </si>
  <si>
    <t>Total checks</t>
  </si>
  <si>
    <t>Compliant</t>
  </si>
  <si>
    <t>Non-Compliant</t>
  </si>
  <si>
    <t>NA</t>
  </si>
  <si>
    <t>Pending</t>
  </si>
  <si>
    <t>% Compliant (of applicable)</t>
  </si>
  <si>
    <t>TOTAL</t>
  </si>
  <si>
    <t>Punjab &amp; Sind Bank – Integrated e-Surveillance Audit – Site Audit Register</t>
  </si>
  <si>
    <t>Sr. No.</t>
  </si>
  <si>
    <t>Date of Audit</t>
  </si>
  <si>
    <t>ATM / CRM ID</t>
  </si>
  <si>
    <t>Branch Name</t>
  </si>
  <si>
    <t>Location / Address</t>
  </si>
  <si>
    <t>City</t>
  </si>
  <si>
    <t>Zone / Zonal Office</t>
  </si>
  <si>
    <t>Region / FGMO</t>
  </si>
  <si>
    <t>Audit Team – Lead Auditor</t>
  </si>
  <si>
    <t>Audit Team – Members</t>
  </si>
  <si>
    <t>Vendor Representative (Name / Contact)</t>
  </si>
  <si>
    <t>Bank Official Present (Name / Designation)</t>
  </si>
  <si>
    <t>Audit Start Time</t>
  </si>
  <si>
    <t>Audit End Time</t>
  </si>
  <si>
    <t>Hardware – Result</t>
  </si>
  <si>
    <t>Functional – Result</t>
  </si>
  <si>
    <t>Network &amp; Cyber – Result</t>
  </si>
  <si>
    <t>Overall Result</t>
  </si>
  <si>
    <t>No. of Observations</t>
  </si>
  <si>
    <t>Report Ref. No.</t>
  </si>
  <si>
    <t>Report Date</t>
  </si>
  <si>
    <t>Remarks</t>
  </si>
  <si>
    <t>PSB-DEL-0142</t>
  </si>
  <si>
    <t>Rajouri Garden</t>
  </si>
  <si>
    <t>Shop 12, Main Market, Rajouri Garden</t>
  </si>
  <si>
    <t>New Delhi</t>
  </si>
  <si>
    <t>ZO Delhi</t>
  </si>
  <si>
    <t>FGMO North</t>
  </si>
  <si>
    <t>A. Sharma</t>
  </si>
  <si>
    <t>R. Verma; S. Kaur</t>
  </si>
  <si>
    <t>Vendor site engineer – 98xxxxxxxx</t>
  </si>
  <si>
    <t>Branch Manager – Mr. X</t>
  </si>
  <si>
    <t>Partially Compliant</t>
  </si>
  <si>
    <t>IFIT/PSB/ES/2026-27/001</t>
  </si>
  <si>
    <t>NVR retention short of 180 days; re-verification due 30-09-2026</t>
  </si>
  <si>
    <t>Row 5 is an example entry – overwrite it with actual data.</t>
  </si>
  <si>
    <t xml:space="preserve">Punjab &amp; Sind Bank - Integrated e-Surveillance System at ATMs/CRMs </t>
  </si>
  <si>
    <t xml:space="preserve"> INFOCUS-IT (CERT-In empanelled IS auditor)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</si>
</sst>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EDEDED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FFFF99"/>
        <bgColor rgb="FFFF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right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64" fontId="1" fillId="5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20" fontId="1" fillId="5" borderId="1" xfId="0" applyNumberFormat="1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7EBB-00A5-43B1-8090-5F7D865554A1}">
  <dimension ref="A1:V34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A3" sqref="A3:XFD3"/>
    </sheetView>
  </sheetViews>
  <sheetFormatPr defaultColWidth="8.6640625" defaultRowHeight="14.25" x14ac:dyDescent="0.45"/>
  <cols>
    <col min="1" max="1" width="7" customWidth="1"/>
    <col min="2" max="2" width="13" customWidth="1"/>
    <col min="3" max="3" width="14" customWidth="1"/>
    <col min="4" max="4" width="22" customWidth="1"/>
    <col min="5" max="5" width="32" customWidth="1"/>
    <col min="6" max="6" width="14" customWidth="1"/>
    <col min="7" max="7" width="16" customWidth="1"/>
    <col min="8" max="8" width="14" customWidth="1"/>
    <col min="9" max="9" width="20" customWidth="1"/>
    <col min="10" max="10" width="26" customWidth="1"/>
    <col min="11" max="12" width="24" customWidth="1"/>
    <col min="13" max="14" width="11" customWidth="1"/>
    <col min="15" max="17" width="14" customWidth="1"/>
    <col min="18" max="18" width="16" customWidth="1"/>
    <col min="19" max="19" width="11" customWidth="1"/>
    <col min="20" max="20" width="16" customWidth="1"/>
    <col min="21" max="21" width="13" customWidth="1"/>
    <col min="22" max="22" width="30" customWidth="1"/>
  </cols>
  <sheetData>
    <row r="1" spans="1:22" ht="15.4" x14ac:dyDescent="0.45">
      <c r="A1" s="3" t="s">
        <v>137</v>
      </c>
    </row>
    <row r="2" spans="1:22" ht="45" customHeight="1" x14ac:dyDescent="0.45">
      <c r="A2" s="17" t="s">
        <v>138</v>
      </c>
      <c r="B2" s="17" t="s">
        <v>139</v>
      </c>
      <c r="C2" s="17" t="s">
        <v>140</v>
      </c>
      <c r="D2" s="17" t="s">
        <v>141</v>
      </c>
      <c r="E2" s="17" t="s">
        <v>142</v>
      </c>
      <c r="F2" s="17" t="s">
        <v>143</v>
      </c>
      <c r="G2" s="17" t="s">
        <v>144</v>
      </c>
      <c r="H2" s="17" t="s">
        <v>145</v>
      </c>
      <c r="I2" s="17" t="s">
        <v>146</v>
      </c>
      <c r="J2" s="17" t="s">
        <v>147</v>
      </c>
      <c r="K2" s="17" t="s">
        <v>148</v>
      </c>
      <c r="L2" s="17" t="s">
        <v>149</v>
      </c>
      <c r="M2" s="17" t="s">
        <v>150</v>
      </c>
      <c r="N2" s="17" t="s">
        <v>151</v>
      </c>
      <c r="O2" s="17" t="s">
        <v>152</v>
      </c>
      <c r="P2" s="17" t="s">
        <v>153</v>
      </c>
      <c r="Q2" s="17" t="s">
        <v>154</v>
      </c>
      <c r="R2" s="17" t="s">
        <v>155</v>
      </c>
      <c r="S2" s="17" t="s">
        <v>156</v>
      </c>
      <c r="T2" s="17" t="s">
        <v>157</v>
      </c>
      <c r="U2" s="17" t="s">
        <v>158</v>
      </c>
      <c r="V2" s="17" t="s">
        <v>159</v>
      </c>
    </row>
    <row r="3" spans="1:22" ht="25.5" x14ac:dyDescent="0.45">
      <c r="A3" s="18">
        <v>1</v>
      </c>
      <c r="B3" s="19">
        <v>46279</v>
      </c>
      <c r="C3" s="20" t="s">
        <v>160</v>
      </c>
      <c r="D3" s="20" t="s">
        <v>161</v>
      </c>
      <c r="E3" s="20" t="s">
        <v>162</v>
      </c>
      <c r="F3" s="20" t="s">
        <v>163</v>
      </c>
      <c r="G3" s="20" t="s">
        <v>164</v>
      </c>
      <c r="H3" s="20" t="s">
        <v>165</v>
      </c>
      <c r="I3" s="20" t="s">
        <v>166</v>
      </c>
      <c r="J3" s="20" t="s">
        <v>167</v>
      </c>
      <c r="K3" s="20" t="s">
        <v>168</v>
      </c>
      <c r="L3" s="20" t="s">
        <v>169</v>
      </c>
      <c r="M3" s="21">
        <v>0.4375</v>
      </c>
      <c r="N3" s="21">
        <v>0.55208333333333304</v>
      </c>
      <c r="O3" s="20" t="s">
        <v>131</v>
      </c>
      <c r="P3" s="20" t="s">
        <v>170</v>
      </c>
      <c r="Q3" s="20" t="s">
        <v>131</v>
      </c>
      <c r="R3" s="20" t="s">
        <v>170</v>
      </c>
      <c r="S3" s="20">
        <v>3</v>
      </c>
      <c r="T3" s="20" t="s">
        <v>171</v>
      </c>
      <c r="U3" s="19">
        <v>46281</v>
      </c>
      <c r="V3" s="20" t="s">
        <v>172</v>
      </c>
    </row>
    <row r="4" spans="1:22" x14ac:dyDescent="0.45">
      <c r="A4" s="18">
        <v>2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  <c r="N4" s="21"/>
      <c r="O4" s="20"/>
      <c r="P4" s="20"/>
      <c r="Q4" s="20"/>
      <c r="R4" s="20"/>
      <c r="S4" s="20"/>
      <c r="T4" s="20"/>
      <c r="U4" s="19"/>
      <c r="V4" s="20"/>
    </row>
    <row r="5" spans="1:22" x14ac:dyDescent="0.45">
      <c r="A5" s="18">
        <v>3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21"/>
      <c r="O5" s="20"/>
      <c r="P5" s="20"/>
      <c r="Q5" s="20"/>
      <c r="R5" s="20"/>
      <c r="S5" s="20"/>
      <c r="T5" s="20"/>
      <c r="U5" s="19"/>
      <c r="V5" s="20"/>
    </row>
    <row r="6" spans="1:22" x14ac:dyDescent="0.45">
      <c r="A6" s="18">
        <v>4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21"/>
      <c r="O6" s="20"/>
      <c r="P6" s="20"/>
      <c r="Q6" s="20"/>
      <c r="R6" s="20"/>
      <c r="S6" s="20"/>
      <c r="T6" s="20"/>
      <c r="U6" s="19"/>
      <c r="V6" s="20"/>
    </row>
    <row r="7" spans="1:22" x14ac:dyDescent="0.45">
      <c r="A7" s="18">
        <v>5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1"/>
      <c r="O7" s="20"/>
      <c r="P7" s="20"/>
      <c r="Q7" s="20"/>
      <c r="R7" s="20"/>
      <c r="S7" s="20"/>
      <c r="T7" s="20"/>
      <c r="U7" s="19"/>
      <c r="V7" s="20"/>
    </row>
    <row r="8" spans="1:22" x14ac:dyDescent="0.45">
      <c r="A8" s="18">
        <v>6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1"/>
      <c r="O8" s="20"/>
      <c r="P8" s="20"/>
      <c r="Q8" s="20"/>
      <c r="R8" s="20"/>
      <c r="S8" s="20"/>
      <c r="T8" s="20"/>
      <c r="U8" s="19"/>
      <c r="V8" s="20"/>
    </row>
    <row r="9" spans="1:22" x14ac:dyDescent="0.45">
      <c r="A9" s="18">
        <v>7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21"/>
      <c r="O9" s="20"/>
      <c r="P9" s="20"/>
      <c r="Q9" s="20"/>
      <c r="R9" s="20"/>
      <c r="S9" s="20"/>
      <c r="T9" s="20"/>
      <c r="U9" s="19"/>
      <c r="V9" s="20"/>
    </row>
    <row r="10" spans="1:22" x14ac:dyDescent="0.45">
      <c r="A10" s="18">
        <v>8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1"/>
      <c r="O10" s="20"/>
      <c r="P10" s="20"/>
      <c r="Q10" s="20"/>
      <c r="R10" s="20"/>
      <c r="S10" s="20"/>
      <c r="T10" s="20"/>
      <c r="U10" s="19"/>
      <c r="V10" s="20"/>
    </row>
    <row r="11" spans="1:22" x14ac:dyDescent="0.45">
      <c r="A11" s="18">
        <v>9</v>
      </c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1"/>
      <c r="O11" s="20"/>
      <c r="P11" s="20"/>
      <c r="Q11" s="20"/>
      <c r="R11" s="20"/>
      <c r="S11" s="20"/>
      <c r="T11" s="20"/>
      <c r="U11" s="19"/>
      <c r="V11" s="20"/>
    </row>
    <row r="12" spans="1:22" x14ac:dyDescent="0.45">
      <c r="A12" s="18">
        <v>10</v>
      </c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  <c r="N12" s="21"/>
      <c r="O12" s="20"/>
      <c r="P12" s="20"/>
      <c r="Q12" s="20"/>
      <c r="R12" s="20"/>
      <c r="S12" s="20"/>
      <c r="T12" s="20"/>
      <c r="U12" s="19"/>
      <c r="V12" s="20"/>
    </row>
    <row r="13" spans="1:22" x14ac:dyDescent="0.45">
      <c r="A13" s="18">
        <v>11</v>
      </c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21"/>
      <c r="O13" s="20"/>
      <c r="P13" s="20"/>
      <c r="Q13" s="20"/>
      <c r="R13" s="20"/>
      <c r="S13" s="20"/>
      <c r="T13" s="20"/>
      <c r="U13" s="19"/>
      <c r="V13" s="20"/>
    </row>
    <row r="14" spans="1:22" x14ac:dyDescent="0.45">
      <c r="A14" s="18">
        <v>12</v>
      </c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1"/>
      <c r="O14" s="20"/>
      <c r="P14" s="20"/>
      <c r="Q14" s="20"/>
      <c r="R14" s="20"/>
      <c r="S14" s="20"/>
      <c r="T14" s="20"/>
      <c r="U14" s="19"/>
      <c r="V14" s="20"/>
    </row>
    <row r="15" spans="1:22" x14ac:dyDescent="0.45">
      <c r="A15" s="18">
        <v>13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21"/>
      <c r="O15" s="20"/>
      <c r="P15" s="20"/>
      <c r="Q15" s="20"/>
      <c r="R15" s="20"/>
      <c r="S15" s="20"/>
      <c r="T15" s="20"/>
      <c r="U15" s="19"/>
      <c r="V15" s="20"/>
    </row>
    <row r="16" spans="1:22" x14ac:dyDescent="0.45">
      <c r="A16" s="18">
        <v>14</v>
      </c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0"/>
      <c r="P16" s="20"/>
      <c r="Q16" s="20"/>
      <c r="R16" s="20"/>
      <c r="S16" s="20"/>
      <c r="T16" s="20"/>
      <c r="U16" s="19"/>
      <c r="V16" s="20"/>
    </row>
    <row r="17" spans="1:22" x14ac:dyDescent="0.45">
      <c r="A17" s="18">
        <v>15</v>
      </c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0"/>
      <c r="P17" s="20"/>
      <c r="Q17" s="20"/>
      <c r="R17" s="20"/>
      <c r="S17" s="20"/>
      <c r="T17" s="20"/>
      <c r="U17" s="19"/>
      <c r="V17" s="20"/>
    </row>
    <row r="18" spans="1:22" x14ac:dyDescent="0.45">
      <c r="A18" s="18">
        <v>16</v>
      </c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1"/>
      <c r="O18" s="20"/>
      <c r="P18" s="20"/>
      <c r="Q18" s="20"/>
      <c r="R18" s="20"/>
      <c r="S18" s="20"/>
      <c r="T18" s="20"/>
      <c r="U18" s="19"/>
      <c r="V18" s="20"/>
    </row>
    <row r="19" spans="1:22" x14ac:dyDescent="0.45">
      <c r="A19" s="18">
        <v>17</v>
      </c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1"/>
      <c r="O19" s="20"/>
      <c r="P19" s="20"/>
      <c r="Q19" s="20"/>
      <c r="R19" s="20"/>
      <c r="S19" s="20"/>
      <c r="T19" s="20"/>
      <c r="U19" s="19"/>
      <c r="V19" s="20"/>
    </row>
    <row r="20" spans="1:22" x14ac:dyDescent="0.45">
      <c r="A20" s="18">
        <v>18</v>
      </c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1"/>
      <c r="O20" s="20"/>
      <c r="P20" s="20"/>
      <c r="Q20" s="20"/>
      <c r="R20" s="20"/>
      <c r="S20" s="20"/>
      <c r="T20" s="20"/>
      <c r="U20" s="19"/>
      <c r="V20" s="20"/>
    </row>
    <row r="21" spans="1:22" x14ac:dyDescent="0.45">
      <c r="A21" s="18">
        <v>19</v>
      </c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1"/>
      <c r="O21" s="20"/>
      <c r="P21" s="20"/>
      <c r="Q21" s="20"/>
      <c r="R21" s="20"/>
      <c r="S21" s="20"/>
      <c r="T21" s="20"/>
      <c r="U21" s="19"/>
      <c r="V21" s="20"/>
    </row>
    <row r="22" spans="1:22" x14ac:dyDescent="0.45">
      <c r="A22" s="18">
        <v>20</v>
      </c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1"/>
      <c r="O22" s="20"/>
      <c r="P22" s="20"/>
      <c r="Q22" s="20"/>
      <c r="R22" s="20"/>
      <c r="S22" s="20"/>
      <c r="T22" s="20"/>
      <c r="U22" s="19"/>
      <c r="V22" s="20"/>
    </row>
    <row r="23" spans="1:22" x14ac:dyDescent="0.45">
      <c r="A23" s="18">
        <v>21</v>
      </c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1"/>
      <c r="O23" s="20"/>
      <c r="P23" s="20"/>
      <c r="Q23" s="20"/>
      <c r="R23" s="20"/>
      <c r="S23" s="20"/>
      <c r="T23" s="20"/>
      <c r="U23" s="19"/>
      <c r="V23" s="20"/>
    </row>
    <row r="24" spans="1:22" x14ac:dyDescent="0.45">
      <c r="A24" s="18">
        <v>22</v>
      </c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0"/>
      <c r="T24" s="20"/>
      <c r="U24" s="19"/>
      <c r="V24" s="20"/>
    </row>
    <row r="25" spans="1:22" x14ac:dyDescent="0.45">
      <c r="A25" s="18">
        <v>23</v>
      </c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0"/>
      <c r="T25" s="20"/>
      <c r="U25" s="19"/>
      <c r="V25" s="20"/>
    </row>
    <row r="26" spans="1:22" x14ac:dyDescent="0.45">
      <c r="A26" s="18">
        <v>24</v>
      </c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1"/>
      <c r="O26" s="20"/>
      <c r="P26" s="20"/>
      <c r="Q26" s="20"/>
      <c r="R26" s="20"/>
      <c r="S26" s="20"/>
      <c r="T26" s="20"/>
      <c r="U26" s="19"/>
      <c r="V26" s="20"/>
    </row>
    <row r="27" spans="1:22" x14ac:dyDescent="0.45">
      <c r="A27" s="18">
        <v>25</v>
      </c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1"/>
      <c r="O27" s="20"/>
      <c r="P27" s="20"/>
      <c r="Q27" s="20"/>
      <c r="R27" s="20"/>
      <c r="S27" s="20"/>
      <c r="T27" s="20"/>
      <c r="U27" s="19"/>
      <c r="V27" s="20"/>
    </row>
    <row r="28" spans="1:22" x14ac:dyDescent="0.45">
      <c r="A28" s="18">
        <v>26</v>
      </c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1"/>
      <c r="O28" s="20"/>
      <c r="P28" s="20"/>
      <c r="Q28" s="20"/>
      <c r="R28" s="20"/>
      <c r="S28" s="20"/>
      <c r="T28" s="20"/>
      <c r="U28" s="19"/>
      <c r="V28" s="20"/>
    </row>
    <row r="29" spans="1:22" x14ac:dyDescent="0.45">
      <c r="A29" s="18">
        <v>27</v>
      </c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1"/>
      <c r="O29" s="20"/>
      <c r="P29" s="20"/>
      <c r="Q29" s="20"/>
      <c r="R29" s="20"/>
      <c r="S29" s="20"/>
      <c r="T29" s="20"/>
      <c r="U29" s="19"/>
      <c r="V29" s="20"/>
    </row>
    <row r="30" spans="1:22" x14ac:dyDescent="0.45">
      <c r="A30" s="18">
        <v>28</v>
      </c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1"/>
      <c r="O30" s="20"/>
      <c r="P30" s="20"/>
      <c r="Q30" s="20"/>
      <c r="R30" s="20"/>
      <c r="S30" s="20"/>
      <c r="T30" s="20"/>
      <c r="U30" s="19"/>
      <c r="V30" s="20"/>
    </row>
    <row r="31" spans="1:22" x14ac:dyDescent="0.45">
      <c r="A31" s="18">
        <v>29</v>
      </c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1"/>
      <c r="O31" s="20"/>
      <c r="P31" s="20"/>
      <c r="Q31" s="20"/>
      <c r="R31" s="20"/>
      <c r="S31" s="20"/>
      <c r="T31" s="20"/>
      <c r="U31" s="19"/>
      <c r="V31" s="20"/>
    </row>
    <row r="32" spans="1:22" x14ac:dyDescent="0.45">
      <c r="A32" s="18">
        <v>30</v>
      </c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0"/>
      <c r="P32" s="20"/>
      <c r="Q32" s="20"/>
      <c r="R32" s="20"/>
      <c r="S32" s="20"/>
      <c r="T32" s="20"/>
      <c r="U32" s="19"/>
      <c r="V32" s="20"/>
    </row>
    <row r="34" spans="1:1" x14ac:dyDescent="0.45">
      <c r="A34" s="4" t="s">
        <v>173</v>
      </c>
    </row>
  </sheetData>
  <autoFilter ref="A2:V32" xr:uid="{00000000-0009-0000-0000-000001000000}"/>
  <dataValidations count="2">
    <dataValidation type="date" operator="greaterThan" allowBlank="1" sqref="B3:B32" xr:uid="{0F8A08CE-16BF-4975-8A6B-E34DB4E585A3}">
      <formula1>DATE(2026,1,1)</formula1>
      <formula2>0</formula2>
    </dataValidation>
    <dataValidation type="list" allowBlank="1" sqref="O3:R32" xr:uid="{E584FFC6-85B8-4B5F-9227-10FB0F3F2820}">
      <formula1>"Compliant,Partially Compliant,Non-Compliant,Not Applicable,Pending"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Normal="100" workbookViewId="0">
      <pane ySplit="7" topLeftCell="A8" activePane="bottomLeft" state="frozen"/>
      <selection pane="bottomLeft" activeCell="B17" sqref="B17:C17"/>
    </sheetView>
  </sheetViews>
  <sheetFormatPr defaultColWidth="8.6640625" defaultRowHeight="14.25" x14ac:dyDescent="0.45"/>
  <cols>
    <col min="1" max="1" width="8" customWidth="1"/>
    <col min="2" max="2" width="64" customWidth="1"/>
    <col min="3" max="3" width="12.86328125" customWidth="1"/>
    <col min="4" max="4" width="25" customWidth="1"/>
    <col min="5" max="5" width="16" customWidth="1"/>
    <col min="6" max="6" width="24.19921875" customWidth="1"/>
  </cols>
  <sheetData>
    <row r="1" spans="1:6" ht="15.4" x14ac:dyDescent="0.45">
      <c r="A1" s="3" t="s">
        <v>174</v>
      </c>
      <c r="D1" s="4" t="s">
        <v>175</v>
      </c>
    </row>
    <row r="3" spans="1:6" ht="18" customHeight="1" x14ac:dyDescent="0.45">
      <c r="B3" s="5" t="s">
        <v>0</v>
      </c>
      <c r="C3" s="2"/>
      <c r="D3" s="2"/>
      <c r="E3" s="5" t="s">
        <v>1</v>
      </c>
      <c r="F3" s="6"/>
    </row>
    <row r="4" spans="1:6" ht="18" customHeight="1" x14ac:dyDescent="0.45">
      <c r="B4" s="5" t="s">
        <v>2</v>
      </c>
      <c r="C4" s="2"/>
      <c r="D4" s="2"/>
      <c r="E4" s="5" t="s">
        <v>3</v>
      </c>
      <c r="F4" s="6"/>
    </row>
    <row r="5" spans="1:6" ht="18" customHeight="1" x14ac:dyDescent="0.45">
      <c r="B5" s="5" t="s">
        <v>4</v>
      </c>
      <c r="C5" s="2"/>
      <c r="D5" s="2"/>
      <c r="E5" s="5" t="s">
        <v>5</v>
      </c>
      <c r="F5" s="6"/>
    </row>
    <row r="7" spans="1:6" ht="27.75" customHeight="1" x14ac:dyDescent="0.45">
      <c r="A7" s="7" t="s">
        <v>6</v>
      </c>
      <c r="B7" s="22" t="s">
        <v>7</v>
      </c>
      <c r="C7" s="23"/>
      <c r="D7" s="7" t="s">
        <v>8</v>
      </c>
      <c r="E7" s="7" t="s">
        <v>9</v>
      </c>
      <c r="F7" s="7" t="s">
        <v>10</v>
      </c>
    </row>
    <row r="8" spans="1:6" ht="18" customHeight="1" x14ac:dyDescent="0.45">
      <c r="A8" s="1" t="s">
        <v>13</v>
      </c>
      <c r="B8" s="1"/>
      <c r="C8" s="1"/>
      <c r="D8" s="1"/>
      <c r="E8" s="1"/>
      <c r="F8" s="1"/>
    </row>
    <row r="9" spans="1:6" ht="31.5" customHeight="1" x14ac:dyDescent="0.45">
      <c r="A9" s="8" t="s">
        <v>14</v>
      </c>
      <c r="B9" s="24" t="s">
        <v>15</v>
      </c>
      <c r="C9" s="25"/>
      <c r="D9" s="9" t="s">
        <v>16</v>
      </c>
      <c r="E9" s="8"/>
      <c r="F9" s="9"/>
    </row>
    <row r="10" spans="1:6" ht="31.5" customHeight="1" x14ac:dyDescent="0.45">
      <c r="A10" s="8" t="s">
        <v>17</v>
      </c>
      <c r="B10" s="24" t="s">
        <v>18</v>
      </c>
      <c r="C10" s="25"/>
      <c r="D10" s="9" t="s">
        <v>19</v>
      </c>
      <c r="E10" s="8"/>
      <c r="F10" s="9"/>
    </row>
    <row r="11" spans="1:6" ht="31.5" customHeight="1" x14ac:dyDescent="0.45">
      <c r="A11" s="8" t="s">
        <v>20</v>
      </c>
      <c r="B11" s="24" t="s">
        <v>21</v>
      </c>
      <c r="C11" s="25"/>
      <c r="D11" s="9" t="s">
        <v>22</v>
      </c>
      <c r="E11" s="8"/>
      <c r="F11" s="9"/>
    </row>
    <row r="12" spans="1:6" ht="31.5" customHeight="1" x14ac:dyDescent="0.45">
      <c r="A12" s="8" t="s">
        <v>23</v>
      </c>
      <c r="B12" s="24" t="s">
        <v>24</v>
      </c>
      <c r="C12" s="25"/>
      <c r="D12" s="9" t="s">
        <v>25</v>
      </c>
      <c r="E12" s="8"/>
      <c r="F12" s="9"/>
    </row>
    <row r="13" spans="1:6" ht="31.5" customHeight="1" x14ac:dyDescent="0.45">
      <c r="A13" s="8" t="s">
        <v>26</v>
      </c>
      <c r="B13" s="24" t="s">
        <v>27</v>
      </c>
      <c r="C13" s="25"/>
      <c r="D13" s="9" t="s">
        <v>28</v>
      </c>
      <c r="E13" s="8"/>
      <c r="F13" s="9"/>
    </row>
    <row r="14" spans="1:6" ht="31.5" customHeight="1" x14ac:dyDescent="0.45">
      <c r="A14" s="8" t="s">
        <v>29</v>
      </c>
      <c r="B14" s="24" t="s">
        <v>30</v>
      </c>
      <c r="C14" s="25"/>
      <c r="D14" s="9" t="s">
        <v>31</v>
      </c>
      <c r="E14" s="8"/>
      <c r="F14" s="9"/>
    </row>
    <row r="15" spans="1:6" ht="31.5" customHeight="1" x14ac:dyDescent="0.45">
      <c r="A15" s="8" t="s">
        <v>32</v>
      </c>
      <c r="B15" s="24" t="s">
        <v>33</v>
      </c>
      <c r="C15" s="25"/>
      <c r="D15" s="9" t="s">
        <v>34</v>
      </c>
      <c r="E15" s="8"/>
      <c r="F15" s="9"/>
    </row>
    <row r="16" spans="1:6" ht="21.75" customHeight="1" x14ac:dyDescent="0.45">
      <c r="A16" s="8" t="s">
        <v>35</v>
      </c>
      <c r="B16" s="24" t="s">
        <v>36</v>
      </c>
      <c r="C16" s="25"/>
      <c r="D16" s="9" t="s">
        <v>37</v>
      </c>
      <c r="E16" s="8"/>
      <c r="F16" s="9"/>
    </row>
    <row r="17" spans="1:6" ht="45" customHeight="1" x14ac:dyDescent="0.45">
      <c r="A17" s="8" t="s">
        <v>38</v>
      </c>
      <c r="B17" s="24" t="s">
        <v>39</v>
      </c>
      <c r="C17" s="25"/>
      <c r="D17" s="9" t="s">
        <v>40</v>
      </c>
      <c r="E17" s="8"/>
      <c r="F17" s="9"/>
    </row>
    <row r="18" spans="1:6" ht="31.5" customHeight="1" x14ac:dyDescent="0.45">
      <c r="A18" s="8" t="s">
        <v>41</v>
      </c>
      <c r="B18" s="24" t="s">
        <v>42</v>
      </c>
      <c r="C18" s="25"/>
      <c r="D18" s="9" t="s">
        <v>43</v>
      </c>
      <c r="E18" s="8"/>
      <c r="F18" s="9"/>
    </row>
    <row r="19" spans="1:6" ht="18" customHeight="1" x14ac:dyDescent="0.45">
      <c r="A19" s="1" t="s">
        <v>44</v>
      </c>
      <c r="B19" s="1"/>
      <c r="C19" s="1"/>
      <c r="D19" s="1"/>
      <c r="E19" s="1"/>
      <c r="F19" s="1"/>
    </row>
    <row r="20" spans="1:6" ht="45" customHeight="1" x14ac:dyDescent="0.45">
      <c r="A20" s="8" t="s">
        <v>45</v>
      </c>
      <c r="B20" s="24" t="s">
        <v>46</v>
      </c>
      <c r="C20" s="25"/>
      <c r="D20" s="9" t="s">
        <v>47</v>
      </c>
      <c r="E20" s="8"/>
      <c r="F20" s="9"/>
    </row>
    <row r="21" spans="1:6" ht="31.5" customHeight="1" x14ac:dyDescent="0.45">
      <c r="A21" s="8" t="s">
        <v>48</v>
      </c>
      <c r="B21" s="24" t="s">
        <v>49</v>
      </c>
      <c r="C21" s="25"/>
      <c r="D21" s="9" t="s">
        <v>50</v>
      </c>
      <c r="E21" s="8"/>
      <c r="F21" s="9"/>
    </row>
    <row r="22" spans="1:6" ht="31.5" customHeight="1" x14ac:dyDescent="0.45">
      <c r="A22" s="8" t="s">
        <v>51</v>
      </c>
      <c r="B22" s="24" t="s">
        <v>52</v>
      </c>
      <c r="C22" s="25"/>
      <c r="D22" s="9" t="s">
        <v>53</v>
      </c>
      <c r="E22" s="8"/>
      <c r="F22" s="9"/>
    </row>
    <row r="23" spans="1:6" ht="31.5" customHeight="1" x14ac:dyDescent="0.45">
      <c r="A23" s="8" t="s">
        <v>54</v>
      </c>
      <c r="B23" s="24" t="s">
        <v>55</v>
      </c>
      <c r="C23" s="25"/>
      <c r="D23" s="9" t="s">
        <v>56</v>
      </c>
      <c r="E23" s="8"/>
      <c r="F23" s="9"/>
    </row>
    <row r="24" spans="1:6" ht="31.5" customHeight="1" x14ac:dyDescent="0.45">
      <c r="A24" s="8" t="s">
        <v>57</v>
      </c>
      <c r="B24" s="24" t="s">
        <v>58</v>
      </c>
      <c r="C24" s="25"/>
      <c r="D24" s="9" t="s">
        <v>11</v>
      </c>
      <c r="E24" s="8"/>
      <c r="F24" s="9"/>
    </row>
    <row r="25" spans="1:6" ht="31.5" customHeight="1" x14ac:dyDescent="0.45">
      <c r="A25" s="8" t="s">
        <v>59</v>
      </c>
      <c r="B25" s="24" t="s">
        <v>60</v>
      </c>
      <c r="C25" s="25"/>
      <c r="D25" s="9" t="s">
        <v>61</v>
      </c>
      <c r="E25" s="8"/>
      <c r="F25" s="9"/>
    </row>
    <row r="26" spans="1:6" ht="31.5" customHeight="1" x14ac:dyDescent="0.45">
      <c r="A26" s="8" t="s">
        <v>62</v>
      </c>
      <c r="B26" s="24" t="s">
        <v>63</v>
      </c>
      <c r="C26" s="25"/>
      <c r="D26" s="9" t="s">
        <v>64</v>
      </c>
      <c r="E26" s="8"/>
      <c r="F26" s="9"/>
    </row>
    <row r="27" spans="1:6" ht="31.5" customHeight="1" x14ac:dyDescent="0.45">
      <c r="A27" s="8" t="s">
        <v>65</v>
      </c>
      <c r="B27" s="24" t="s">
        <v>66</v>
      </c>
      <c r="C27" s="25"/>
      <c r="D27" s="9" t="s">
        <v>67</v>
      </c>
      <c r="E27" s="8"/>
      <c r="F27" s="9"/>
    </row>
    <row r="28" spans="1:6" ht="31.5" customHeight="1" x14ac:dyDescent="0.45">
      <c r="A28" s="8" t="s">
        <v>68</v>
      </c>
      <c r="B28" s="24" t="s">
        <v>69</v>
      </c>
      <c r="C28" s="25"/>
      <c r="D28" s="9" t="s">
        <v>70</v>
      </c>
      <c r="E28" s="8"/>
      <c r="F28" s="9"/>
    </row>
    <row r="29" spans="1:6" ht="31.5" customHeight="1" x14ac:dyDescent="0.45">
      <c r="A29" s="8" t="s">
        <v>71</v>
      </c>
      <c r="B29" s="24" t="s">
        <v>72</v>
      </c>
      <c r="C29" s="25"/>
      <c r="D29" s="9" t="s">
        <v>73</v>
      </c>
      <c r="E29" s="8"/>
      <c r="F29" s="9"/>
    </row>
    <row r="30" spans="1:6" ht="31.5" customHeight="1" x14ac:dyDescent="0.45">
      <c r="A30" s="8" t="s">
        <v>74</v>
      </c>
      <c r="B30" s="24" t="s">
        <v>75</v>
      </c>
      <c r="C30" s="25"/>
      <c r="D30" s="9" t="s">
        <v>76</v>
      </c>
      <c r="E30" s="8"/>
      <c r="F30" s="9"/>
    </row>
    <row r="31" spans="1:6" ht="58.5" customHeight="1" x14ac:dyDescent="0.45">
      <c r="A31" s="8" t="s">
        <v>77</v>
      </c>
      <c r="B31" s="24" t="s">
        <v>78</v>
      </c>
      <c r="C31" s="25"/>
      <c r="D31" s="9" t="s">
        <v>79</v>
      </c>
      <c r="E31" s="8"/>
      <c r="F31" s="9"/>
    </row>
    <row r="32" spans="1:6" ht="45" customHeight="1" x14ac:dyDescent="0.45">
      <c r="A32" s="8" t="s">
        <v>80</v>
      </c>
      <c r="B32" s="24" t="s">
        <v>81</v>
      </c>
      <c r="C32" s="25"/>
      <c r="D32" s="9" t="s">
        <v>82</v>
      </c>
      <c r="E32" s="8"/>
      <c r="F32" s="9"/>
    </row>
    <row r="33" spans="1:6" ht="31.5" customHeight="1" x14ac:dyDescent="0.45">
      <c r="A33" s="8" t="s">
        <v>83</v>
      </c>
      <c r="B33" s="24" t="s">
        <v>84</v>
      </c>
      <c r="C33" s="25"/>
      <c r="D33" s="9" t="s">
        <v>85</v>
      </c>
      <c r="E33" s="8"/>
      <c r="F33" s="9"/>
    </row>
    <row r="34" spans="1:6" ht="45" customHeight="1" x14ac:dyDescent="0.45">
      <c r="A34" s="8" t="s">
        <v>86</v>
      </c>
      <c r="B34" s="24" t="s">
        <v>87</v>
      </c>
      <c r="C34" s="25"/>
      <c r="D34" s="9" t="s">
        <v>88</v>
      </c>
      <c r="E34" s="8"/>
      <c r="F34" s="9"/>
    </row>
    <row r="35" spans="1:6" ht="18" customHeight="1" x14ac:dyDescent="0.45">
      <c r="A35" s="1" t="s">
        <v>89</v>
      </c>
      <c r="B35" s="1"/>
      <c r="C35" s="1"/>
      <c r="D35" s="1"/>
      <c r="E35" s="1"/>
      <c r="F35" s="1"/>
    </row>
    <row r="36" spans="1:6" ht="31.5" customHeight="1" x14ac:dyDescent="0.45">
      <c r="A36" s="8" t="s">
        <v>90</v>
      </c>
      <c r="B36" s="24" t="s">
        <v>91</v>
      </c>
      <c r="C36" s="25"/>
      <c r="D36" s="9" t="s">
        <v>92</v>
      </c>
      <c r="E36" s="8"/>
      <c r="F36" s="9"/>
    </row>
    <row r="37" spans="1:6" ht="31.5" customHeight="1" x14ac:dyDescent="0.45">
      <c r="A37" s="8" t="s">
        <v>93</v>
      </c>
      <c r="B37" s="24" t="s">
        <v>94</v>
      </c>
      <c r="C37" s="25"/>
      <c r="D37" s="9" t="s">
        <v>95</v>
      </c>
      <c r="E37" s="8"/>
      <c r="F37" s="9"/>
    </row>
    <row r="38" spans="1:6" ht="31.5" customHeight="1" x14ac:dyDescent="0.45">
      <c r="A38" s="8" t="s">
        <v>96</v>
      </c>
      <c r="B38" s="24" t="s">
        <v>97</v>
      </c>
      <c r="C38" s="25"/>
      <c r="D38" s="9" t="s">
        <v>98</v>
      </c>
      <c r="E38" s="8"/>
      <c r="F38" s="9"/>
    </row>
    <row r="39" spans="1:6" ht="31.5" customHeight="1" x14ac:dyDescent="0.45">
      <c r="A39" s="8" t="s">
        <v>99</v>
      </c>
      <c r="B39" s="24" t="s">
        <v>100</v>
      </c>
      <c r="C39" s="25"/>
      <c r="D39" s="9" t="s">
        <v>101</v>
      </c>
      <c r="E39" s="8"/>
      <c r="F39" s="9"/>
    </row>
    <row r="40" spans="1:6" ht="31.5" customHeight="1" x14ac:dyDescent="0.45">
      <c r="A40" s="8" t="s">
        <v>102</v>
      </c>
      <c r="B40" s="24" t="s">
        <v>103</v>
      </c>
      <c r="C40" s="25"/>
      <c r="D40" s="9" t="s">
        <v>104</v>
      </c>
      <c r="E40" s="8"/>
      <c r="F40" s="9"/>
    </row>
    <row r="41" spans="1:6" ht="21.75" customHeight="1" x14ac:dyDescent="0.45">
      <c r="A41" s="8" t="s">
        <v>105</v>
      </c>
      <c r="B41" s="24" t="s">
        <v>106</v>
      </c>
      <c r="C41" s="25"/>
      <c r="D41" s="9" t="s">
        <v>107</v>
      </c>
      <c r="E41" s="8"/>
      <c r="F41" s="9"/>
    </row>
    <row r="42" spans="1:6" ht="31.5" customHeight="1" x14ac:dyDescent="0.45">
      <c r="A42" s="8" t="s">
        <v>108</v>
      </c>
      <c r="B42" s="24" t="s">
        <v>109</v>
      </c>
      <c r="C42" s="25"/>
      <c r="D42" s="9" t="s">
        <v>110</v>
      </c>
      <c r="E42" s="8"/>
      <c r="F42" s="9"/>
    </row>
    <row r="43" spans="1:6" ht="31.5" customHeight="1" x14ac:dyDescent="0.45">
      <c r="A43" s="8" t="s">
        <v>111</v>
      </c>
      <c r="B43" s="24" t="s">
        <v>112</v>
      </c>
      <c r="C43" s="25"/>
      <c r="D43" s="9" t="s">
        <v>113</v>
      </c>
      <c r="E43" s="8"/>
      <c r="F43" s="9"/>
    </row>
    <row r="44" spans="1:6" ht="45" customHeight="1" x14ac:dyDescent="0.45">
      <c r="A44" s="8" t="s">
        <v>114</v>
      </c>
      <c r="B44" s="24" t="s">
        <v>115</v>
      </c>
      <c r="C44" s="25"/>
      <c r="D44" s="9" t="s">
        <v>116</v>
      </c>
      <c r="E44" s="8"/>
      <c r="F44" s="9"/>
    </row>
    <row r="45" spans="1:6" ht="45" customHeight="1" x14ac:dyDescent="0.45">
      <c r="A45" s="8" t="s">
        <v>117</v>
      </c>
      <c r="B45" s="24" t="s">
        <v>118</v>
      </c>
      <c r="C45" s="25"/>
      <c r="D45" s="9" t="s">
        <v>119</v>
      </c>
      <c r="E45" s="8"/>
      <c r="F45" s="9"/>
    </row>
    <row r="46" spans="1:6" ht="21.75" customHeight="1" x14ac:dyDescent="0.45">
      <c r="A46" s="8" t="s">
        <v>120</v>
      </c>
      <c r="B46" s="24" t="s">
        <v>121</v>
      </c>
      <c r="C46" s="25"/>
      <c r="D46" s="9" t="s">
        <v>122</v>
      </c>
      <c r="E46" s="8"/>
      <c r="F46" s="9"/>
    </row>
    <row r="47" spans="1:6" ht="45" customHeight="1" x14ac:dyDescent="0.45">
      <c r="A47" s="8" t="s">
        <v>123</v>
      </c>
      <c r="B47" s="24" t="s">
        <v>124</v>
      </c>
      <c r="C47" s="25"/>
      <c r="D47" s="9" t="s">
        <v>125</v>
      </c>
      <c r="E47" s="8"/>
      <c r="F47" s="9"/>
    </row>
    <row r="49" spans="2:9" ht="25.5" customHeight="1" x14ac:dyDescent="0.45">
      <c r="B49" s="5" t="s">
        <v>126</v>
      </c>
      <c r="C49" s="2"/>
      <c r="D49" s="2"/>
      <c r="E49" s="5" t="s">
        <v>5</v>
      </c>
      <c r="F49" s="6"/>
    </row>
    <row r="50" spans="2:9" ht="25.5" customHeight="1" x14ac:dyDescent="0.45">
      <c r="B50" s="5" t="s">
        <v>127</v>
      </c>
      <c r="C50" s="2"/>
      <c r="D50" s="2"/>
      <c r="E50" s="5" t="s">
        <v>128</v>
      </c>
      <c r="F50" s="6"/>
    </row>
    <row r="53" spans="2:9" ht="25.5" customHeight="1" x14ac:dyDescent="0.45">
      <c r="B53" s="10" t="s">
        <v>129</v>
      </c>
      <c r="C53" s="10" t="s">
        <v>130</v>
      </c>
      <c r="D53" s="10" t="s">
        <v>131</v>
      </c>
      <c r="E53" s="10" t="s">
        <v>12</v>
      </c>
      <c r="F53" s="10" t="s">
        <v>132</v>
      </c>
      <c r="G53" s="10" t="s">
        <v>133</v>
      </c>
      <c r="H53" s="10" t="s">
        <v>134</v>
      </c>
      <c r="I53" s="10" t="s">
        <v>135</v>
      </c>
    </row>
    <row r="54" spans="2:9" x14ac:dyDescent="0.45">
      <c r="B54" s="11" t="s">
        <v>13</v>
      </c>
      <c r="C54" s="12">
        <f>ROWS(Checklist!$E$9:$E$18)</f>
        <v>10</v>
      </c>
      <c r="D54" s="12">
        <f>COUNTIF(Checklist!$E$9:$E$18,"Compliant")</f>
        <v>0</v>
      </c>
      <c r="E54" s="12">
        <f>COUNTIF(Checklist!$E$9:$E$18,"Partial")</f>
        <v>0</v>
      </c>
      <c r="F54" s="12">
        <f>COUNTIF(Checklist!$E$9:$E$18,"Non-Compliant")</f>
        <v>0</v>
      </c>
      <c r="G54" s="12">
        <f>COUNTIF(Checklist!$E$9:$E$18,"NA")</f>
        <v>0</v>
      </c>
      <c r="H54" s="12">
        <f>C54-SUM(D54:G54)</f>
        <v>10</v>
      </c>
      <c r="I54" s="13">
        <f>IF(C54-G54=0,0,D54/(C54-G54))</f>
        <v>0</v>
      </c>
    </row>
    <row r="55" spans="2:9" x14ac:dyDescent="0.45">
      <c r="B55" s="11" t="s">
        <v>44</v>
      </c>
      <c r="C55" s="12">
        <f>ROWS(Checklist!$E$20:$E$34)</f>
        <v>15</v>
      </c>
      <c r="D55" s="12">
        <f>COUNTIF(Checklist!$E$20:$E$34,"Compliant")</f>
        <v>0</v>
      </c>
      <c r="E55" s="12">
        <f>COUNTIF(Checklist!$E$20:$E$34,"Partial")</f>
        <v>0</v>
      </c>
      <c r="F55" s="12">
        <f>COUNTIF(Checklist!$E$20:$E$34,"Non-Compliant")</f>
        <v>0</v>
      </c>
      <c r="G55" s="12">
        <f>COUNTIF(Checklist!$E$20:$E$34,"NA")</f>
        <v>0</v>
      </c>
      <c r="H55" s="12">
        <f>C55-SUM(D55:G55)</f>
        <v>15</v>
      </c>
      <c r="I55" s="13">
        <f>IF(C55-G55=0,0,D55/(C55-G55))</f>
        <v>0</v>
      </c>
    </row>
    <row r="56" spans="2:9" x14ac:dyDescent="0.45">
      <c r="B56" s="11" t="s">
        <v>89</v>
      </c>
      <c r="C56" s="12">
        <f>ROWS(Checklist!$E$36:$E$47)</f>
        <v>12</v>
      </c>
      <c r="D56" s="12">
        <f>COUNTIF(Checklist!$E$36:$E$47,"Compliant")</f>
        <v>0</v>
      </c>
      <c r="E56" s="12">
        <f>COUNTIF(Checklist!$E$36:$E$47,"Partial")</f>
        <v>0</v>
      </c>
      <c r="F56" s="12">
        <f>COUNTIF(Checklist!$E$36:$E$47,"Non-Compliant")</f>
        <v>0</v>
      </c>
      <c r="G56" s="12">
        <f>COUNTIF(Checklist!$E$36:$E$47,"NA")</f>
        <v>0</v>
      </c>
      <c r="H56" s="12">
        <f>C56-SUM(D56:G56)</f>
        <v>12</v>
      </c>
      <c r="I56" s="13">
        <f>IF(C56-G56=0,0,D56/(C56-G56))</f>
        <v>0</v>
      </c>
    </row>
    <row r="57" spans="2:9" x14ac:dyDescent="0.45">
      <c r="B57" s="14" t="s">
        <v>136</v>
      </c>
      <c r="C57" s="15">
        <f>SUM(C54:C56)</f>
        <v>37</v>
      </c>
      <c r="D57" s="15">
        <f>SUM(D54:D56)</f>
        <v>0</v>
      </c>
      <c r="E57" s="15">
        <f>SUM(E54:E56)</f>
        <v>0</v>
      </c>
      <c r="F57" s="15">
        <f>SUM(F54:F56)</f>
        <v>0</v>
      </c>
      <c r="G57" s="15">
        <f>SUM(G54:G56)</f>
        <v>0</v>
      </c>
      <c r="H57" s="15">
        <f>SUM(H54:H56)</f>
        <v>37</v>
      </c>
      <c r="I57" s="16">
        <f>IF(C57-G57=0,0,D57/(C57-G57))</f>
        <v>0</v>
      </c>
    </row>
  </sheetData>
  <mergeCells count="46"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33:C33"/>
    <mergeCell ref="B34:C34"/>
    <mergeCell ref="B36:C36"/>
    <mergeCell ref="B37:C37"/>
    <mergeCell ref="B38:C38"/>
    <mergeCell ref="B29:C29"/>
    <mergeCell ref="B30:C30"/>
    <mergeCell ref="B31:C31"/>
    <mergeCell ref="B32:C32"/>
    <mergeCell ref="B24:C24"/>
    <mergeCell ref="B25:C25"/>
    <mergeCell ref="B26:C26"/>
    <mergeCell ref="B27:C27"/>
    <mergeCell ref="B28:C28"/>
    <mergeCell ref="B20:C20"/>
    <mergeCell ref="B21:C21"/>
    <mergeCell ref="B22:C22"/>
    <mergeCell ref="B23:C23"/>
    <mergeCell ref="A19:F19"/>
    <mergeCell ref="A35:F35"/>
    <mergeCell ref="C49:D49"/>
    <mergeCell ref="C50:D50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C3:D3"/>
    <mergeCell ref="C4:D4"/>
    <mergeCell ref="C5:D5"/>
    <mergeCell ref="A8:F8"/>
  </mergeCells>
  <dataValidations count="1">
    <dataValidation type="list" allowBlank="1" errorTitle="Status" error="Select a value from the list" sqref="E36:E47 E9:E18 E20:E34" xr:uid="{00000000-0002-0000-0000-000000000000}">
      <formula1>"Compliant,Partial,Non-Compliant,NA"</formula1>
      <formula2>0</formula2>
    </dataValidation>
  </dataValidations>
  <pageMargins left="0.4" right="0.4" top="0.5" bottom="0.5" header="0.511811023622047" footer="0.5"/>
  <pageSetup paperSize="9" scale="80" orientation="landscape" horizontalDpi="300" verticalDpi="300"/>
  <headerFooter>
    <oddFooter>&amp;C&amp;8 Page &amp;P of &amp;N</oddFooter>
  </headerFooter>
  <rowBreaks count="2" manualBreakCount="2">
    <brk id="18" max="16383" man="1"/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Audit Register</vt:lpstr>
      <vt:lpstr>Checklist</vt:lpstr>
      <vt:lpstr>Checklist!Print_Area</vt:lpstr>
      <vt:lpstr>Checklist!Print_Titles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Jagbir Singh</cp:lastModifiedBy>
  <cp:revision>0</cp:revision>
  <dcterms:created xsi:type="dcterms:W3CDTF">2026-09-20T15:37:03Z</dcterms:created>
  <dcterms:modified xsi:type="dcterms:W3CDTF">2026-09-20T16:03:42Z</dcterms:modified>
  <dc:language>en-US</dc:language>
</cp:coreProperties>
</file>